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cs\Desktop\Stoppa UFE\DatFile\"/>
    </mc:Choice>
  </mc:AlternateContent>
  <xr:revisionPtr revIDLastSave="0" documentId="13_ncr:1_{681E1A86-24BF-4570-94DF-1B3AE203EE13}" xr6:coauthVersionLast="45" xr6:coauthVersionMax="45" xr10:uidLastSave="{00000000-0000-0000-0000-000000000000}"/>
  <bookViews>
    <workbookView xWindow="32655" yWindow="180" windowWidth="22710" windowHeight="13785" xr2:uid="{00000000-000D-0000-FFFF-FFFF00000000}"/>
  </bookViews>
  <sheets>
    <sheet name="Feuil1" sheetId="2" r:id="rId1"/>
    <sheet name="Sheet1" sheetId="3" r:id="rId2"/>
  </sheets>
  <definedNames>
    <definedName name="_xlnm._FilterDatabase" localSheetId="0" hidden="1">Feuil1!$A$2:$I$50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" l="1"/>
  <c r="B16" i="2"/>
  <c r="I32" i="2" l="1"/>
  <c r="B32" i="2" s="1"/>
  <c r="C32" i="2"/>
  <c r="I31" i="2"/>
  <c r="B31" i="2" s="1"/>
  <c r="C31" i="2"/>
  <c r="I30" i="2"/>
  <c r="B30" i="2" s="1"/>
  <c r="C30" i="2"/>
  <c r="I29" i="2"/>
  <c r="B29" i="2" s="1"/>
  <c r="C29" i="2"/>
  <c r="I24" i="2"/>
  <c r="B24" i="2" s="1"/>
  <c r="C24" i="2"/>
  <c r="C25" i="2"/>
  <c r="I8" i="2" l="1"/>
  <c r="B8" i="2" s="1"/>
  <c r="C8" i="2"/>
  <c r="C7" i="2"/>
  <c r="C21" i="2" l="1"/>
  <c r="I21" i="2"/>
  <c r="B21" i="2" s="1"/>
  <c r="I40" i="2" l="1"/>
  <c r="I41" i="2"/>
  <c r="I42" i="2"/>
  <c r="I43" i="2"/>
  <c r="I44" i="2"/>
  <c r="I45" i="2"/>
  <c r="I46" i="2"/>
  <c r="I47" i="2"/>
  <c r="I48" i="2"/>
  <c r="I49" i="2"/>
  <c r="I39" i="2"/>
  <c r="I26" i="2"/>
  <c r="I27" i="2"/>
  <c r="I28" i="2"/>
  <c r="I33" i="2"/>
  <c r="I34" i="2"/>
  <c r="I35" i="2"/>
  <c r="I36" i="2"/>
  <c r="I25" i="2"/>
  <c r="I6" i="2"/>
  <c r="I7" i="2"/>
  <c r="I9" i="2"/>
  <c r="I10" i="2"/>
  <c r="I11" i="2"/>
  <c r="I12" i="2"/>
  <c r="I13" i="2"/>
  <c r="I14" i="2"/>
  <c r="I15" i="2"/>
  <c r="I16" i="2"/>
  <c r="I17" i="2"/>
  <c r="I18" i="2"/>
  <c r="I19" i="2"/>
  <c r="I20" i="2"/>
  <c r="I5" i="2"/>
  <c r="C20" i="2" l="1"/>
  <c r="B20" i="2"/>
  <c r="C49" i="2"/>
  <c r="C48" i="2"/>
  <c r="C47" i="2"/>
  <c r="C46" i="2"/>
  <c r="C45" i="2"/>
  <c r="C44" i="2"/>
  <c r="C43" i="2"/>
  <c r="C42" i="2"/>
  <c r="C41" i="2"/>
  <c r="C40" i="2"/>
  <c r="C39" i="2"/>
  <c r="C36" i="2"/>
  <c r="C35" i="2"/>
  <c r="C34" i="2"/>
  <c r="C33" i="2"/>
  <c r="C28" i="2"/>
  <c r="C27" i="2"/>
  <c r="C26" i="2"/>
  <c r="C19" i="2"/>
  <c r="C18" i="2"/>
  <c r="C17" i="2"/>
  <c r="C16" i="2"/>
  <c r="C15" i="2"/>
  <c r="C14" i="2"/>
  <c r="C13" i="2"/>
  <c r="C12" i="2"/>
  <c r="C11" i="2"/>
  <c r="C10" i="2"/>
  <c r="C9" i="2"/>
  <c r="C6" i="2"/>
  <c r="C5" i="2"/>
  <c r="A1" i="2"/>
  <c r="B49" i="2" l="1"/>
  <c r="B48" i="2"/>
  <c r="B47" i="2"/>
  <c r="B46" i="2"/>
  <c r="B45" i="2"/>
  <c r="B44" i="2"/>
  <c r="B43" i="2"/>
  <c r="B42" i="2"/>
  <c r="B41" i="2"/>
  <c r="B40" i="2"/>
  <c r="B39" i="2"/>
  <c r="B36" i="2"/>
  <c r="B35" i="2"/>
  <c r="B34" i="2"/>
  <c r="B33" i="2"/>
  <c r="B28" i="2"/>
  <c r="B27" i="2"/>
  <c r="B26" i="2"/>
  <c r="B25" i="2"/>
  <c r="B19" i="2"/>
  <c r="B18" i="2"/>
  <c r="B17" i="2"/>
  <c r="B15" i="2"/>
  <c r="B14" i="2"/>
  <c r="B13" i="2"/>
  <c r="B12" i="2"/>
  <c r="B11" i="2"/>
  <c r="B10" i="2"/>
  <c r="B9" i="2"/>
  <c r="B7" i="2"/>
  <c r="B6" i="2"/>
</calcChain>
</file>

<file path=xl/sharedStrings.xml><?xml version="1.0" encoding="utf-8"?>
<sst xmlns="http://schemas.openxmlformats.org/spreadsheetml/2006/main" count="173" uniqueCount="98">
  <si>
    <t>No_Item</t>
  </si>
  <si>
    <t>Description1</t>
  </si>
  <si>
    <t>Description2</t>
  </si>
  <si>
    <t>ACIER 0.060"</t>
  </si>
  <si>
    <t>[ 16G ]</t>
  </si>
  <si>
    <t>ACIER 0.120"</t>
  </si>
  <si>
    <t>[ 11G ]</t>
  </si>
  <si>
    <t>ACIER 0.187"</t>
  </si>
  <si>
    <t>[ 3/16 ]</t>
  </si>
  <si>
    <t>ACIER 0.250"</t>
  </si>
  <si>
    <t>[ 1/4 ]</t>
  </si>
  <si>
    <t>ACIER 0.375"</t>
  </si>
  <si>
    <t>[ 3/8 ]</t>
  </si>
  <si>
    <t>ACIER 0.500"</t>
  </si>
  <si>
    <t>[ 1/2 ]</t>
  </si>
  <si>
    <t>ACIER 0.750"</t>
  </si>
  <si>
    <t>[ 3/4 ]</t>
  </si>
  <si>
    <t>ANTI-DÉRAPANT 0.187"</t>
  </si>
  <si>
    <t>SS 304 0.125"</t>
  </si>
  <si>
    <t>SS 304 0.250"</t>
  </si>
  <si>
    <t>ALUM 6061 0.375"</t>
  </si>
  <si>
    <t>[ 14G ]</t>
  </si>
  <si>
    <t>ACIER 1.000"</t>
  </si>
  <si>
    <t>[ 1 PO ]</t>
  </si>
  <si>
    <t>SS 304 0.062"</t>
  </si>
  <si>
    <t>SS 304 0.375"</t>
  </si>
  <si>
    <t>ALUM 3003 0.125"</t>
  </si>
  <si>
    <t>ALUM 3003 0.187"</t>
  </si>
  <si>
    <t>ALUM 3003 0.250"</t>
  </si>
  <si>
    <t>ALUM 3003 0.375"</t>
  </si>
  <si>
    <t>SS 304 0.078"</t>
  </si>
  <si>
    <t>SS 304 0.500"</t>
  </si>
  <si>
    <t>[ 5/16 ]</t>
  </si>
  <si>
    <t>ACIER 0.075"</t>
  </si>
  <si>
    <t>SS 304 2B 0.187"</t>
  </si>
  <si>
    <t>SS 304 NO4 0.125"</t>
  </si>
  <si>
    <t>SS 304 NO4 0.187"</t>
  </si>
  <si>
    <t>SS 304 NO4 0.250"</t>
  </si>
  <si>
    <t>ACIER 0.312"</t>
  </si>
  <si>
    <t>ACIER 0.625"</t>
  </si>
  <si>
    <t>[ 5/8 ]</t>
  </si>
  <si>
    <t>ACIER GALV. 0.120</t>
  </si>
  <si>
    <t>ALUM 6061 0.500"</t>
  </si>
  <si>
    <t>ALUM 6061 0.750"</t>
  </si>
  <si>
    <t>ALUM ANTI-DÉRAPANT 0.187"</t>
  </si>
  <si>
    <t>SS 304 NO4 0.062"</t>
  </si>
  <si>
    <t>DIMENSIONS</t>
  </si>
  <si>
    <t xml:space="preserve">5' X 10' </t>
  </si>
  <si>
    <t>PROGRAMMER</t>
  </si>
  <si>
    <t>QT100 ou CHT100.250"</t>
  </si>
  <si>
    <t>Date requis</t>
  </si>
  <si>
    <t xml:space="preserve">4' X 8' </t>
  </si>
  <si>
    <t>Quantité pi2</t>
  </si>
  <si>
    <t>Acier</t>
  </si>
  <si>
    <t xml:space="preserve">À commander </t>
  </si>
  <si>
    <t>safety stock</t>
  </si>
  <si>
    <t>ALUMINIUM</t>
  </si>
  <si>
    <t>STAINLESS</t>
  </si>
  <si>
    <t>QUANTITÉ (STOCK)</t>
  </si>
  <si>
    <t>QT400 OU CHT400 0.250"</t>
  </si>
  <si>
    <t>ACIER 10g</t>
  </si>
  <si>
    <t>[ 10G ]</t>
  </si>
  <si>
    <t>ALUM 3003 0.500"</t>
  </si>
  <si>
    <t>[11g]</t>
  </si>
  <si>
    <t>ALUM 6061 0.125"</t>
  </si>
  <si>
    <t>ALUM 6061 0.187"</t>
  </si>
  <si>
    <t>ALUM 6061 0.250"</t>
  </si>
  <si>
    <t>ALUM 3003 0.062"</t>
  </si>
  <si>
    <t>ACIER QUEBEC MARITIMES</t>
  </si>
  <si>
    <t>ACIER LEROUX DIV. DE MÉTAUX RU</t>
  </si>
  <si>
    <t>steel_com_16g_5x10</t>
  </si>
  <si>
    <t>steel_com_14g_5x10</t>
  </si>
  <si>
    <t>steel_com_11g_5x10</t>
  </si>
  <si>
    <t>steel_com_10g_5x10</t>
  </si>
  <si>
    <t>desc. Stopa</t>
  </si>
  <si>
    <t>steel_44w_0.187_5x10</t>
  </si>
  <si>
    <t>steel_44w_0.250_5x10</t>
  </si>
  <si>
    <t>steel_44w_0.312_5x10</t>
  </si>
  <si>
    <t>steel_44w_0.375_5x10</t>
  </si>
  <si>
    <t>steel_44w_0.500_5x10</t>
  </si>
  <si>
    <t>steel_44w_0.625_5x10</t>
  </si>
  <si>
    <t>steel_44w_0.750_5x10</t>
  </si>
  <si>
    <t>steel_44w_1.000_4x10</t>
  </si>
  <si>
    <t>steel_44w_1.000_5x10</t>
  </si>
  <si>
    <t>steel_flr_0.187_5x10</t>
  </si>
  <si>
    <t xml:space="preserve">4' X 10' </t>
  </si>
  <si>
    <t>steel_galv_11g_4x10</t>
  </si>
  <si>
    <t>ss_304_16g_5x10</t>
  </si>
  <si>
    <t>ss_304_14g_5x10</t>
  </si>
  <si>
    <t>ss_304_11g_5x10</t>
  </si>
  <si>
    <t>ss_304_0.250_5x10</t>
  </si>
  <si>
    <t>ss_304_0.375_5x10</t>
  </si>
  <si>
    <t>ss_304_0.500_5x10</t>
  </si>
  <si>
    <t>ss_304_2b 0.187_5x10</t>
  </si>
  <si>
    <t>ss_304_16g_no4_5x10</t>
  </si>
  <si>
    <t>ss_304_11g_no4_5x10</t>
  </si>
  <si>
    <t>ss_304_ 0.187_no4_5x10</t>
  </si>
  <si>
    <t>ss_304_ 0.250_no4_5x10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</si>
</sst>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rgb="FFB5B5B5"/>
      </top>
      <bottom/>
      <diagonal/>
    </border>
    <border>
      <left style="thin">
        <color theme="0"/>
      </left>
      <right style="thin">
        <color theme="0"/>
      </right>
      <top style="thin">
        <color rgb="FFB5B5B5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42"/>
      </top>
      <bottom/>
      <diagonal/>
    </border>
    <border>
      <left/>
      <right/>
      <top style="thin">
        <color indexed="42"/>
      </top>
      <bottom style="thin">
        <color indexed="42"/>
      </bottom>
      <diagonal/>
    </border>
    <border>
      <left style="medium">
        <color indexed="64"/>
      </left>
      <right/>
      <top style="thin">
        <color indexed="42"/>
      </top>
      <bottom style="thin">
        <color rgb="FFB5B5B5"/>
      </bottom>
      <diagonal/>
    </border>
    <border>
      <left/>
      <right/>
      <top style="thin">
        <color indexed="42"/>
      </top>
      <bottom style="thin">
        <color rgb="FFB5B5B5"/>
      </bottom>
      <diagonal/>
    </border>
    <border>
      <left style="medium">
        <color indexed="64"/>
      </left>
      <right/>
      <top style="thin">
        <color indexed="42"/>
      </top>
      <bottom style="medium">
        <color indexed="64"/>
      </bottom>
      <diagonal/>
    </border>
    <border>
      <left/>
      <right/>
      <top style="thin">
        <color indexed="42"/>
      </top>
      <bottom style="medium">
        <color indexed="64"/>
      </bottom>
      <diagonal/>
    </border>
    <border>
      <left/>
      <right style="medium">
        <color indexed="64"/>
      </right>
      <top style="thin">
        <color indexed="42"/>
      </top>
      <bottom style="medium">
        <color indexed="64"/>
      </bottom>
      <diagonal/>
    </border>
    <border>
      <left style="medium">
        <color indexed="64"/>
      </left>
      <right/>
      <top style="thin">
        <color indexed="42"/>
      </top>
      <bottom/>
      <diagonal/>
    </border>
    <border>
      <left/>
      <right/>
      <top style="thin">
        <color indexed="42"/>
      </top>
      <bottom/>
      <diagonal/>
    </border>
    <border>
      <left/>
      <right style="medium">
        <color indexed="64"/>
      </right>
      <top style="thin">
        <color indexed="42"/>
      </top>
      <bottom/>
      <diagonal/>
    </border>
    <border>
      <left style="thin">
        <color indexed="64"/>
      </left>
      <right style="thin">
        <color indexed="64"/>
      </right>
      <top style="thin">
        <color rgb="FFB5B5B5"/>
      </top>
      <bottom/>
      <diagonal/>
    </border>
    <border>
      <left style="thin">
        <color indexed="64"/>
      </left>
      <right style="thin">
        <color indexed="64"/>
      </right>
      <top style="thin">
        <color rgb="FFB5B5B5"/>
      </top>
      <bottom style="thin">
        <color rgb="FFB5B5B5"/>
      </bottom>
      <diagonal/>
    </border>
    <border>
      <left style="medium">
        <color indexed="64"/>
      </left>
      <right/>
      <top/>
      <bottom style="thin">
        <color indexed="42"/>
      </bottom>
      <diagonal/>
    </border>
    <border>
      <left/>
      <right/>
      <top/>
      <bottom style="thin">
        <color indexed="42"/>
      </bottom>
      <diagonal/>
    </border>
    <border>
      <left/>
      <right style="medium">
        <color indexed="64"/>
      </right>
      <top/>
      <bottom style="thin">
        <color indexed="42"/>
      </bottom>
      <diagonal/>
    </border>
    <border>
      <left/>
      <right/>
      <top style="thin">
        <color rgb="FFB5B5B5"/>
      </top>
      <bottom style="thin">
        <color rgb="FFB5B5B5"/>
      </bottom>
      <diagonal/>
    </border>
    <border>
      <left/>
      <right/>
      <top style="thin">
        <color rgb="FFB5B5B5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7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0" fillId="0" borderId="8" xfId="0" applyFill="1" applyBorder="1"/>
    <xf numFmtId="0" fontId="0" fillId="0" borderId="8" xfId="0" applyFill="1" applyBorder="1" applyAlignment="1">
      <alignment horizontal="center"/>
    </xf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center"/>
    </xf>
    <xf numFmtId="0" fontId="2" fillId="5" borderId="1" xfId="0" applyFont="1" applyFill="1" applyBorder="1"/>
    <xf numFmtId="0" fontId="2" fillId="5" borderId="2" xfId="0" applyFont="1" applyFill="1" applyBorder="1"/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1" fillId="0" borderId="17" xfId="0" applyNumberFormat="1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4" borderId="18" xfId="0" applyNumberFormat="1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22" xfId="0" applyNumberFormat="1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2" fillId="6" borderId="4" xfId="0" applyFont="1" applyFill="1" applyBorder="1"/>
    <xf numFmtId="0" fontId="2" fillId="6" borderId="2" xfId="0" applyFont="1" applyFill="1" applyBorder="1"/>
    <xf numFmtId="14" fontId="1" fillId="6" borderId="17" xfId="0" applyNumberFormat="1" applyFont="1" applyFill="1" applyBorder="1" applyAlignment="1">
      <alignment horizontal="center"/>
    </xf>
    <xf numFmtId="14" fontId="1" fillId="6" borderId="18" xfId="0" applyNumberFormat="1" applyFont="1" applyFill="1" applyBorder="1" applyAlignment="1">
      <alignment horizontal="center"/>
    </xf>
    <xf numFmtId="14" fontId="1" fillId="6" borderId="6" xfId="0" applyNumberFormat="1" applyFont="1" applyFill="1" applyBorder="1" applyAlignment="1">
      <alignment horizontal="center"/>
    </xf>
    <xf numFmtId="14" fontId="1" fillId="6" borderId="7" xfId="0" applyNumberFormat="1" applyFon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/>
    <xf numFmtId="0" fontId="2" fillId="6" borderId="5" xfId="0" applyFont="1" applyFill="1" applyBorder="1"/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2" fillId="6" borderId="23" xfId="0" applyNumberFormat="1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6" borderId="8" xfId="0" applyFill="1" applyBorder="1"/>
    <xf numFmtId="0" fontId="4" fillId="6" borderId="23" xfId="0" applyNumberFormat="1" applyFont="1" applyFill="1" applyBorder="1" applyAlignment="1">
      <alignment horizontal="center"/>
    </xf>
    <xf numFmtId="0" fontId="1" fillId="6" borderId="17" xfId="0" applyNumberFormat="1" applyFont="1" applyFill="1" applyBorder="1" applyAlignment="1">
      <alignment horizontal="center"/>
    </xf>
    <xf numFmtId="0" fontId="1" fillId="6" borderId="18" xfId="0" applyNumberFormat="1" applyFont="1" applyFill="1" applyBorder="1" applyAlignment="1">
      <alignment horizontal="center"/>
    </xf>
    <xf numFmtId="14" fontId="3" fillId="3" borderId="9" xfId="0" applyNumberFormat="1" applyFont="1" applyFill="1" applyBorder="1" applyAlignment="1">
      <alignment horizontal="center"/>
    </xf>
    <xf numFmtId="14" fontId="3" fillId="3" borderId="10" xfId="0" applyNumberFormat="1" applyFont="1" applyFill="1" applyBorder="1" applyAlignment="1">
      <alignment horizontal="center"/>
    </xf>
    <xf numFmtId="0" fontId="1" fillId="5" borderId="19" xfId="0" applyNumberFormat="1" applyFont="1" applyFill="1" applyBorder="1" applyAlignment="1">
      <alignment horizontal="center"/>
    </xf>
    <xf numFmtId="0" fontId="1" fillId="5" borderId="20" xfId="0" applyNumberFormat="1" applyFont="1" applyFill="1" applyBorder="1" applyAlignment="1">
      <alignment horizontal="center"/>
    </xf>
    <xf numFmtId="0" fontId="1" fillId="5" borderId="21" xfId="0" applyNumberFormat="1" applyFont="1" applyFill="1" applyBorder="1" applyAlignment="1">
      <alignment horizontal="center"/>
    </xf>
    <xf numFmtId="0" fontId="2" fillId="6" borderId="14" xfId="0" applyNumberFormat="1" applyFont="1" applyFill="1" applyBorder="1" applyAlignment="1">
      <alignment horizontal="center"/>
    </xf>
    <xf numFmtId="0" fontId="2" fillId="6" borderId="15" xfId="0" applyNumberFormat="1" applyFont="1" applyFill="1" applyBorder="1" applyAlignment="1">
      <alignment horizontal="center"/>
    </xf>
    <xf numFmtId="0" fontId="2" fillId="6" borderId="16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2" fillId="3" borderId="12" xfId="0" applyNumberFormat="1" applyFont="1" applyFill="1" applyBorder="1" applyAlignment="1">
      <alignment horizontal="center"/>
    </xf>
    <xf numFmtId="0" fontId="2" fillId="3" borderId="13" xfId="0" applyNumberFormat="1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1" fillId="5" borderId="17" xfId="0" applyNumberFormat="1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1" fillId="7" borderId="17" xfId="0" applyNumberFormat="1" applyFont="1" applyFill="1" applyBorder="1" applyAlignment="1">
      <alignment horizontal="center"/>
    </xf>
    <xf numFmtId="0" fontId="1" fillId="5" borderId="6" xfId="0" applyNumberFormat="1" applyFont="1" applyFill="1" applyBorder="1" applyAlignment="1">
      <alignment horizontal="center"/>
    </xf>
    <xf numFmtId="0" fontId="1" fillId="5" borderId="7" xfId="0" applyNumberFormat="1" applyFont="1" applyFill="1" applyBorder="1" applyAlignment="1">
      <alignment horizontal="center"/>
    </xf>
    <xf numFmtId="0" fontId="1" fillId="7" borderId="6" xfId="0" applyNumberFormat="1" applyFont="1" applyFill="1" applyBorder="1" applyAlignment="1">
      <alignment horizontal="center"/>
    </xf>
    <xf numFmtId="0" fontId="1" fillId="7" borderId="7" xfId="0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50"/>
  <sheetViews>
    <sheetView showGridLines="0" tabSelected="1" zoomScale="70" zoomScaleNormal="70" workbookViewId="0">
      <pane ySplit="1" topLeftCell="A11" activePane="bottomLeft" state="frozen"/>
      <selection pane="bottomLeft" activeCell="J33" sqref="J33"/>
    </sheetView>
  </sheetViews>
  <sheetFormatPr baseColWidth="10" defaultColWidth="11.42578125" defaultRowHeight="15" x14ac:dyDescent="0.25"/>
  <cols>
    <col min="1" max="1" width="31.42578125" customWidth="1"/>
    <col min="2" max="2" width="20.42578125" customWidth="1"/>
    <col min="3" max="3" width="12.7109375" style="26" customWidth="1"/>
    <col min="4" max="4" width="28.140625" customWidth="1"/>
    <col min="5" max="5" width="16.42578125" customWidth="1"/>
    <col min="6" max="6" width="18.140625" customWidth="1"/>
    <col min="7" max="7" width="15.5703125" customWidth="1"/>
    <col min="8" max="8" width="19" style="26" customWidth="1"/>
    <col min="9" max="10" width="29.85546875" customWidth="1"/>
    <col min="11" max="11" width="21.42578125" customWidth="1"/>
  </cols>
  <sheetData>
    <row r="1" spans="1:11" ht="21" x14ac:dyDescent="0.35">
      <c r="A1" s="37">
        <f ca="1">TODAY()</f>
        <v>44389</v>
      </c>
      <c r="B1" s="38"/>
      <c r="C1" s="38"/>
      <c r="D1" s="38"/>
      <c r="E1" s="38"/>
      <c r="F1" s="38"/>
      <c r="G1" s="38"/>
      <c r="H1" s="38"/>
      <c r="I1" s="38"/>
      <c r="J1" s="38"/>
      <c r="K1" t="s">
        <v>74</v>
      </c>
    </row>
    <row r="2" spans="1:11" ht="15.75" thickBot="1" x14ac:dyDescent="0.3">
      <c r="A2" s="6" t="s">
        <v>0</v>
      </c>
      <c r="B2" s="6" t="s">
        <v>52</v>
      </c>
      <c r="C2" s="19" t="s">
        <v>50</v>
      </c>
      <c r="D2" s="7" t="s">
        <v>1</v>
      </c>
      <c r="E2" s="7" t="s">
        <v>2</v>
      </c>
      <c r="F2" s="7" t="s">
        <v>58</v>
      </c>
      <c r="G2" s="7" t="s">
        <v>46</v>
      </c>
      <c r="H2" s="27" t="s">
        <v>48</v>
      </c>
      <c r="I2" s="8" t="s">
        <v>54</v>
      </c>
      <c r="J2" s="8" t="s">
        <v>55</v>
      </c>
    </row>
    <row r="3" spans="1:11" s="5" customFormat="1" x14ac:dyDescent="0.25">
      <c r="A3" s="9"/>
      <c r="B3" s="10"/>
      <c r="C3" s="20"/>
      <c r="D3" s="10"/>
      <c r="E3" s="10"/>
      <c r="F3" s="10"/>
      <c r="G3" s="10"/>
      <c r="H3" s="20"/>
      <c r="I3" s="11"/>
      <c r="J3" s="12"/>
    </row>
    <row r="4" spans="1:11" x14ac:dyDescent="0.25">
      <c r="A4" s="48" t="s">
        <v>53</v>
      </c>
      <c r="B4" s="49"/>
      <c r="C4" s="49"/>
      <c r="D4" s="49"/>
      <c r="E4" s="49"/>
      <c r="F4" s="49"/>
      <c r="G4" s="49"/>
      <c r="H4" s="49"/>
      <c r="I4" s="49"/>
      <c r="J4" s="50"/>
    </row>
    <row r="5" spans="1:11" x14ac:dyDescent="0.25">
      <c r="A5" s="51">
        <v>11100409</v>
      </c>
      <c r="B5" s="54">
        <f>A39*50</f>
        <v>580000250</v>
      </c>
      <c r="C5" s="21">
        <f ca="1">TODAY()+1</f>
        <v>44390</v>
      </c>
      <c r="D5" s="52" t="s">
        <v>3</v>
      </c>
      <c r="E5" s="52" t="s">
        <v>4</v>
      </c>
      <c r="F5" s="53">
        <v>4</v>
      </c>
      <c r="G5" s="52" t="s">
        <v>47</v>
      </c>
      <c r="H5" s="28"/>
      <c r="I5" s="53">
        <f>(J5-F5)+H5</f>
        <v>11</v>
      </c>
      <c r="J5" s="53">
        <v>15</v>
      </c>
      <c r="K5" t="s">
        <v>70</v>
      </c>
    </row>
    <row r="6" spans="1:11" x14ac:dyDescent="0.25">
      <c r="A6" s="51">
        <v>11100356</v>
      </c>
      <c r="B6" s="54">
        <f>I6*50</f>
        <v>-100</v>
      </c>
      <c r="C6" s="21">
        <f t="shared" ref="C6:C49" ca="1" si="0">TODAY()+1</f>
        <v>44390</v>
      </c>
      <c r="D6" s="52" t="s">
        <v>33</v>
      </c>
      <c r="E6" s="52" t="s">
        <v>21</v>
      </c>
      <c r="F6" s="53">
        <v>12</v>
      </c>
      <c r="G6" s="52" t="s">
        <v>47</v>
      </c>
      <c r="H6" s="28"/>
      <c r="I6" s="53">
        <f t="shared" ref="I6:I49" si="1">(J6-F6)+H6</f>
        <v>-2</v>
      </c>
      <c r="J6" s="53">
        <v>10</v>
      </c>
      <c r="K6" s="5" t="s">
        <v>71</v>
      </c>
    </row>
    <row r="7" spans="1:11" x14ac:dyDescent="0.25">
      <c r="A7" s="51">
        <v>11100638</v>
      </c>
      <c r="B7" s="54">
        <f t="shared" ref="B7:B49" si="2">I7*50</f>
        <v>2600</v>
      </c>
      <c r="C7" s="21">
        <f t="shared" ca="1" si="0"/>
        <v>44390</v>
      </c>
      <c r="D7" s="52" t="s">
        <v>5</v>
      </c>
      <c r="E7" s="52" t="s">
        <v>6</v>
      </c>
      <c r="F7" s="53">
        <v>2</v>
      </c>
      <c r="G7" s="52" t="s">
        <v>47</v>
      </c>
      <c r="H7" s="28"/>
      <c r="I7" s="53">
        <f t="shared" si="1"/>
        <v>52</v>
      </c>
      <c r="J7" s="53">
        <v>54</v>
      </c>
      <c r="K7" s="5" t="s">
        <v>72</v>
      </c>
    </row>
    <row r="8" spans="1:11" s="5" customFormat="1" x14ac:dyDescent="0.25">
      <c r="A8" s="51">
        <v>11100578</v>
      </c>
      <c r="B8" s="54">
        <f t="shared" si="2"/>
        <v>100</v>
      </c>
      <c r="C8" s="21">
        <f t="shared" ca="1" si="0"/>
        <v>44390</v>
      </c>
      <c r="D8" s="52" t="s">
        <v>60</v>
      </c>
      <c r="E8" s="52" t="s">
        <v>61</v>
      </c>
      <c r="F8" s="53">
        <v>0</v>
      </c>
      <c r="G8" s="52" t="s">
        <v>47</v>
      </c>
      <c r="H8" s="28"/>
      <c r="I8" s="53">
        <f t="shared" si="1"/>
        <v>2</v>
      </c>
      <c r="J8" s="53">
        <v>2</v>
      </c>
      <c r="K8" s="5" t="s">
        <v>73</v>
      </c>
    </row>
    <row r="9" spans="1:11" x14ac:dyDescent="0.25">
      <c r="A9" s="51">
        <v>11100567</v>
      </c>
      <c r="B9" s="54">
        <f t="shared" si="2"/>
        <v>1350</v>
      </c>
      <c r="C9" s="21">
        <f t="shared" ca="1" si="0"/>
        <v>44390</v>
      </c>
      <c r="D9" s="52" t="s">
        <v>7</v>
      </c>
      <c r="E9" s="52" t="s">
        <v>8</v>
      </c>
      <c r="F9" s="53">
        <v>7</v>
      </c>
      <c r="G9" s="52" t="s">
        <v>47</v>
      </c>
      <c r="H9" s="28"/>
      <c r="I9" s="53">
        <f t="shared" si="1"/>
        <v>27</v>
      </c>
      <c r="J9" s="53">
        <v>34</v>
      </c>
      <c r="K9" s="5" t="s">
        <v>75</v>
      </c>
    </row>
    <row r="10" spans="1:11" x14ac:dyDescent="0.25">
      <c r="A10" s="51">
        <v>11100400</v>
      </c>
      <c r="B10" s="54">
        <f t="shared" si="2"/>
        <v>1600</v>
      </c>
      <c r="C10" s="21">
        <f t="shared" ca="1" si="0"/>
        <v>44390</v>
      </c>
      <c r="D10" s="52" t="s">
        <v>9</v>
      </c>
      <c r="E10" s="52" t="s">
        <v>10</v>
      </c>
      <c r="F10" s="53">
        <v>7</v>
      </c>
      <c r="G10" s="52" t="s">
        <v>47</v>
      </c>
      <c r="H10" s="28"/>
      <c r="I10" s="53">
        <f t="shared" si="1"/>
        <v>32</v>
      </c>
      <c r="J10" s="53">
        <v>39</v>
      </c>
      <c r="K10" s="5" t="s">
        <v>76</v>
      </c>
    </row>
    <row r="11" spans="1:11" x14ac:dyDescent="0.25">
      <c r="A11" s="51">
        <v>11100379</v>
      </c>
      <c r="B11" s="54">
        <f t="shared" si="2"/>
        <v>150</v>
      </c>
      <c r="C11" s="21">
        <f t="shared" ca="1" si="0"/>
        <v>44390</v>
      </c>
      <c r="D11" s="52" t="s">
        <v>38</v>
      </c>
      <c r="E11" s="52" t="s">
        <v>32</v>
      </c>
      <c r="F11" s="53">
        <v>1</v>
      </c>
      <c r="G11" s="52" t="s">
        <v>47</v>
      </c>
      <c r="H11" s="28"/>
      <c r="I11" s="53">
        <f t="shared" si="1"/>
        <v>3</v>
      </c>
      <c r="J11" s="53">
        <v>4</v>
      </c>
      <c r="K11" s="5" t="s">
        <v>77</v>
      </c>
    </row>
    <row r="12" spans="1:11" x14ac:dyDescent="0.25">
      <c r="A12" s="51">
        <v>11100282</v>
      </c>
      <c r="B12" s="54">
        <f t="shared" si="2"/>
        <v>300</v>
      </c>
      <c r="C12" s="21">
        <f t="shared" ca="1" si="0"/>
        <v>44390</v>
      </c>
      <c r="D12" s="52" t="s">
        <v>11</v>
      </c>
      <c r="E12" s="52" t="s">
        <v>12</v>
      </c>
      <c r="F12" s="53">
        <v>2</v>
      </c>
      <c r="G12" s="52" t="s">
        <v>47</v>
      </c>
      <c r="H12" s="28"/>
      <c r="I12" s="53">
        <f t="shared" si="1"/>
        <v>6</v>
      </c>
      <c r="J12" s="53">
        <v>8</v>
      </c>
      <c r="K12" s="5" t="s">
        <v>78</v>
      </c>
    </row>
    <row r="13" spans="1:11" x14ac:dyDescent="0.25">
      <c r="A13" s="51">
        <v>11100285</v>
      </c>
      <c r="B13" s="54">
        <f t="shared" si="2"/>
        <v>150</v>
      </c>
      <c r="C13" s="21">
        <f t="shared" ca="1" si="0"/>
        <v>44390</v>
      </c>
      <c r="D13" s="52" t="s">
        <v>13</v>
      </c>
      <c r="E13" s="52" t="s">
        <v>14</v>
      </c>
      <c r="F13" s="53">
        <v>3</v>
      </c>
      <c r="G13" s="52" t="s">
        <v>47</v>
      </c>
      <c r="H13" s="28"/>
      <c r="I13" s="53">
        <f t="shared" si="1"/>
        <v>3</v>
      </c>
      <c r="J13" s="53">
        <v>6</v>
      </c>
      <c r="K13" s="5" t="s">
        <v>79</v>
      </c>
    </row>
    <row r="14" spans="1:11" x14ac:dyDescent="0.25">
      <c r="A14" s="51">
        <v>11100075</v>
      </c>
      <c r="B14" s="54">
        <f t="shared" si="2"/>
        <v>0</v>
      </c>
      <c r="C14" s="21">
        <f t="shared" ca="1" si="0"/>
        <v>44390</v>
      </c>
      <c r="D14" s="52" t="s">
        <v>39</v>
      </c>
      <c r="E14" s="52" t="s">
        <v>40</v>
      </c>
      <c r="F14" s="53">
        <v>2</v>
      </c>
      <c r="G14" s="52" t="s">
        <v>47</v>
      </c>
      <c r="H14" s="28"/>
      <c r="I14" s="53">
        <f t="shared" si="1"/>
        <v>0</v>
      </c>
      <c r="J14" s="53">
        <v>2</v>
      </c>
      <c r="K14" s="5" t="s">
        <v>80</v>
      </c>
    </row>
    <row r="15" spans="1:11" x14ac:dyDescent="0.25">
      <c r="A15" s="51">
        <v>11100269</v>
      </c>
      <c r="B15" s="54">
        <f t="shared" si="2"/>
        <v>0</v>
      </c>
      <c r="C15" s="21">
        <f t="shared" ca="1" si="0"/>
        <v>44390</v>
      </c>
      <c r="D15" s="52" t="s">
        <v>15</v>
      </c>
      <c r="E15" s="52" t="s">
        <v>16</v>
      </c>
      <c r="F15" s="53">
        <v>2</v>
      </c>
      <c r="G15" s="52" t="s">
        <v>47</v>
      </c>
      <c r="H15" s="28"/>
      <c r="I15" s="53">
        <f t="shared" si="1"/>
        <v>0</v>
      </c>
      <c r="J15" s="53">
        <v>2</v>
      </c>
      <c r="K15" s="5" t="s">
        <v>81</v>
      </c>
    </row>
    <row r="16" spans="1:11" x14ac:dyDescent="0.25">
      <c r="A16" s="51">
        <v>11100284</v>
      </c>
      <c r="B16" s="54">
        <f>I16*32</f>
        <v>-32</v>
      </c>
      <c r="C16" s="21">
        <f t="shared" ca="1" si="0"/>
        <v>44390</v>
      </c>
      <c r="D16" s="52" t="s">
        <v>22</v>
      </c>
      <c r="E16" s="52" t="s">
        <v>23</v>
      </c>
      <c r="F16" s="53">
        <v>3</v>
      </c>
      <c r="G16" s="52" t="s">
        <v>51</v>
      </c>
      <c r="H16" s="28"/>
      <c r="I16" s="53">
        <f t="shared" si="1"/>
        <v>-1</v>
      </c>
      <c r="J16" s="53">
        <v>2</v>
      </c>
      <c r="K16" s="5" t="s">
        <v>82</v>
      </c>
    </row>
    <row r="17" spans="1:11" x14ac:dyDescent="0.25">
      <c r="A17" s="51">
        <v>11100284</v>
      </c>
      <c r="B17" s="54">
        <f t="shared" si="2"/>
        <v>0</v>
      </c>
      <c r="C17" s="21">
        <f t="shared" ca="1" si="0"/>
        <v>44390</v>
      </c>
      <c r="D17" s="52" t="s">
        <v>22</v>
      </c>
      <c r="E17" s="52" t="s">
        <v>23</v>
      </c>
      <c r="F17" s="53">
        <v>2</v>
      </c>
      <c r="G17" s="52" t="s">
        <v>47</v>
      </c>
      <c r="H17" s="28"/>
      <c r="I17" s="53">
        <f t="shared" si="1"/>
        <v>0</v>
      </c>
      <c r="J17" s="53">
        <v>2</v>
      </c>
      <c r="K17" s="5" t="s">
        <v>83</v>
      </c>
    </row>
    <row r="18" spans="1:11" x14ac:dyDescent="0.25">
      <c r="A18" s="51">
        <v>11100580</v>
      </c>
      <c r="B18" s="54">
        <f t="shared" si="2"/>
        <v>250</v>
      </c>
      <c r="C18" s="21">
        <f t="shared" ca="1" si="0"/>
        <v>44390</v>
      </c>
      <c r="D18" s="52" t="s">
        <v>17</v>
      </c>
      <c r="E18" s="52" t="s">
        <v>8</v>
      </c>
      <c r="F18" s="53">
        <v>3</v>
      </c>
      <c r="G18" s="52" t="s">
        <v>47</v>
      </c>
      <c r="H18" s="28"/>
      <c r="I18" s="53">
        <f t="shared" si="1"/>
        <v>5</v>
      </c>
      <c r="J18" s="53">
        <v>8</v>
      </c>
      <c r="K18" s="5" t="s">
        <v>84</v>
      </c>
    </row>
    <row r="19" spans="1:11" x14ac:dyDescent="0.25">
      <c r="A19" s="51">
        <v>11100525</v>
      </c>
      <c r="B19" s="54">
        <f t="shared" si="2"/>
        <v>100</v>
      </c>
      <c r="C19" s="21">
        <f t="shared" ca="1" si="0"/>
        <v>44390</v>
      </c>
      <c r="D19" s="52" t="s">
        <v>41</v>
      </c>
      <c r="E19" s="52" t="s">
        <v>6</v>
      </c>
      <c r="F19" s="53">
        <v>1</v>
      </c>
      <c r="G19" s="52" t="s">
        <v>85</v>
      </c>
      <c r="H19" s="28"/>
      <c r="I19" s="53">
        <f t="shared" si="1"/>
        <v>2</v>
      </c>
      <c r="J19" s="53">
        <v>3</v>
      </c>
      <c r="K19" s="5" t="s">
        <v>86</v>
      </c>
    </row>
    <row r="20" spans="1:11" x14ac:dyDescent="0.25">
      <c r="A20" s="13">
        <v>11100388</v>
      </c>
      <c r="B20" s="13">
        <f>I20*32</f>
        <v>32</v>
      </c>
      <c r="C20" s="21">
        <f t="shared" ca="1" si="0"/>
        <v>44390</v>
      </c>
      <c r="D20" s="14" t="s">
        <v>49</v>
      </c>
      <c r="E20" s="14" t="s">
        <v>10</v>
      </c>
      <c r="F20" s="14">
        <v>0</v>
      </c>
      <c r="G20" s="14" t="s">
        <v>51</v>
      </c>
      <c r="H20" s="28"/>
      <c r="I20" s="14">
        <f t="shared" si="1"/>
        <v>1</v>
      </c>
      <c r="J20" s="14">
        <v>1</v>
      </c>
    </row>
    <row r="21" spans="1:11" s="5" customFormat="1" x14ac:dyDescent="0.25">
      <c r="A21" s="17">
        <v>11100296</v>
      </c>
      <c r="B21" s="15">
        <f>I21*32</f>
        <v>32</v>
      </c>
      <c r="C21" s="22">
        <f t="shared" ca="1" si="0"/>
        <v>44390</v>
      </c>
      <c r="D21" s="18" t="s">
        <v>59</v>
      </c>
      <c r="E21" s="16" t="s">
        <v>10</v>
      </c>
      <c r="F21" s="16"/>
      <c r="G21" s="16" t="s">
        <v>51</v>
      </c>
      <c r="H21" s="29"/>
      <c r="I21" s="16">
        <f t="shared" si="1"/>
        <v>1</v>
      </c>
      <c r="J21" s="16">
        <v>1</v>
      </c>
    </row>
    <row r="22" spans="1:11" x14ac:dyDescent="0.25">
      <c r="A22" s="39"/>
      <c r="B22" s="40"/>
      <c r="C22" s="40"/>
      <c r="D22" s="40"/>
      <c r="E22" s="40"/>
      <c r="F22" s="40"/>
      <c r="G22" s="40"/>
      <c r="H22" s="40"/>
      <c r="I22" s="40"/>
      <c r="J22" s="41"/>
    </row>
    <row r="23" spans="1:11" s="26" customFormat="1" x14ac:dyDescent="0.25">
      <c r="A23" s="42" t="s">
        <v>56</v>
      </c>
      <c r="B23" s="43"/>
      <c r="C23" s="43"/>
      <c r="D23" s="43"/>
      <c r="E23" s="43"/>
      <c r="F23" s="43"/>
      <c r="G23" s="43"/>
      <c r="H23" s="43"/>
      <c r="I23" s="43"/>
      <c r="J23" s="44"/>
    </row>
    <row r="24" spans="1:11" s="26" customFormat="1" x14ac:dyDescent="0.25">
      <c r="A24" s="34">
        <v>11200032</v>
      </c>
      <c r="B24" s="35">
        <f t="shared" si="2"/>
        <v>50</v>
      </c>
      <c r="C24" s="21">
        <f ca="1">TODAY()+1</f>
        <v>44390</v>
      </c>
      <c r="D24" s="34" t="s">
        <v>67</v>
      </c>
      <c r="E24" s="28" t="s">
        <v>4</v>
      </c>
      <c r="F24" s="30">
        <v>0</v>
      </c>
      <c r="G24" s="28" t="s">
        <v>47</v>
      </c>
      <c r="H24" s="30"/>
      <c r="I24" s="28">
        <f t="shared" si="1"/>
        <v>1</v>
      </c>
      <c r="J24" s="34">
        <v>1</v>
      </c>
    </row>
    <row r="25" spans="1:11" s="26" customFormat="1" x14ac:dyDescent="0.25">
      <c r="A25" s="35">
        <v>11200080</v>
      </c>
      <c r="B25" s="35">
        <f t="shared" si="2"/>
        <v>0</v>
      </c>
      <c r="C25" s="21">
        <f ca="1">TODAY()+1</f>
        <v>44390</v>
      </c>
      <c r="D25" s="28" t="s">
        <v>26</v>
      </c>
      <c r="E25" s="28" t="s">
        <v>6</v>
      </c>
      <c r="F25" s="28">
        <v>1</v>
      </c>
      <c r="G25" s="28" t="s">
        <v>47</v>
      </c>
      <c r="H25" s="28"/>
      <c r="I25" s="28">
        <f t="shared" si="1"/>
        <v>0</v>
      </c>
      <c r="J25" s="28">
        <v>1</v>
      </c>
    </row>
    <row r="26" spans="1:11" s="26" customFormat="1" x14ac:dyDescent="0.25">
      <c r="A26" s="35">
        <v>11200206</v>
      </c>
      <c r="B26" s="35">
        <f t="shared" si="2"/>
        <v>0</v>
      </c>
      <c r="C26" s="21">
        <f t="shared" ca="1" si="0"/>
        <v>44390</v>
      </c>
      <c r="D26" s="28" t="s">
        <v>27</v>
      </c>
      <c r="E26" s="28" t="s">
        <v>8</v>
      </c>
      <c r="F26" s="28">
        <v>1</v>
      </c>
      <c r="G26" s="28" t="s">
        <v>47</v>
      </c>
      <c r="H26" s="28"/>
      <c r="I26" s="28">
        <f t="shared" si="1"/>
        <v>0</v>
      </c>
      <c r="J26" s="28">
        <v>1</v>
      </c>
    </row>
    <row r="27" spans="1:11" s="26" customFormat="1" x14ac:dyDescent="0.25">
      <c r="A27" s="35">
        <v>11200081</v>
      </c>
      <c r="B27" s="35">
        <f t="shared" si="2"/>
        <v>50</v>
      </c>
      <c r="C27" s="21">
        <f t="shared" ca="1" si="0"/>
        <v>44390</v>
      </c>
      <c r="D27" s="28" t="s">
        <v>28</v>
      </c>
      <c r="E27" s="28" t="s">
        <v>10</v>
      </c>
      <c r="F27" s="28">
        <v>0</v>
      </c>
      <c r="G27" s="28" t="s">
        <v>47</v>
      </c>
      <c r="H27" s="28"/>
      <c r="I27" s="28">
        <f t="shared" si="1"/>
        <v>1</v>
      </c>
      <c r="J27" s="28">
        <v>1</v>
      </c>
    </row>
    <row r="28" spans="1:11" s="26" customFormat="1" x14ac:dyDescent="0.25">
      <c r="A28" s="35">
        <v>154317</v>
      </c>
      <c r="B28" s="35">
        <f t="shared" si="2"/>
        <v>-50</v>
      </c>
      <c r="C28" s="21">
        <f t="shared" ca="1" si="0"/>
        <v>44390</v>
      </c>
      <c r="D28" s="28" t="s">
        <v>29</v>
      </c>
      <c r="E28" s="28" t="s">
        <v>12</v>
      </c>
      <c r="F28" s="28">
        <v>2</v>
      </c>
      <c r="G28" s="28" t="s">
        <v>47</v>
      </c>
      <c r="H28" s="28"/>
      <c r="I28" s="28">
        <f t="shared" si="1"/>
        <v>-1</v>
      </c>
      <c r="J28" s="28">
        <v>1</v>
      </c>
    </row>
    <row r="29" spans="1:11" s="26" customFormat="1" x14ac:dyDescent="0.25">
      <c r="A29" s="35">
        <v>108524</v>
      </c>
      <c r="B29" s="35">
        <f t="shared" ref="B29:B32" si="3">I29*50</f>
        <v>0</v>
      </c>
      <c r="C29" s="21">
        <f t="shared" ca="1" si="0"/>
        <v>44390</v>
      </c>
      <c r="D29" s="28" t="s">
        <v>62</v>
      </c>
      <c r="E29" s="28" t="s">
        <v>14</v>
      </c>
      <c r="F29" s="28">
        <v>1</v>
      </c>
      <c r="G29" s="28" t="s">
        <v>47</v>
      </c>
      <c r="H29" s="28"/>
      <c r="I29" s="28">
        <f t="shared" ref="I29:I32" si="4">(J29-F29)+H29</f>
        <v>0</v>
      </c>
      <c r="J29" s="28">
        <v>1</v>
      </c>
    </row>
    <row r="30" spans="1:11" s="26" customFormat="1" x14ac:dyDescent="0.25">
      <c r="A30" s="35">
        <v>11200004</v>
      </c>
      <c r="B30" s="35">
        <f t="shared" si="3"/>
        <v>-50</v>
      </c>
      <c r="C30" s="21">
        <f t="shared" ca="1" si="0"/>
        <v>44390</v>
      </c>
      <c r="D30" s="28" t="s">
        <v>64</v>
      </c>
      <c r="E30" s="28" t="s">
        <v>63</v>
      </c>
      <c r="F30" s="28">
        <v>2</v>
      </c>
      <c r="G30" s="28" t="s">
        <v>47</v>
      </c>
      <c r="H30" s="28"/>
      <c r="I30" s="28">
        <f t="shared" si="4"/>
        <v>-1</v>
      </c>
      <c r="J30" s="28">
        <v>1</v>
      </c>
    </row>
    <row r="31" spans="1:11" s="26" customFormat="1" x14ac:dyDescent="0.25">
      <c r="A31" s="35">
        <v>11200042</v>
      </c>
      <c r="B31" s="35">
        <f t="shared" si="3"/>
        <v>0</v>
      </c>
      <c r="C31" s="21">
        <f t="shared" ca="1" si="0"/>
        <v>44390</v>
      </c>
      <c r="D31" s="28" t="s">
        <v>65</v>
      </c>
      <c r="E31" s="28" t="s">
        <v>8</v>
      </c>
      <c r="F31" s="28">
        <v>1</v>
      </c>
      <c r="G31" s="28" t="s">
        <v>47</v>
      </c>
      <c r="H31" s="28"/>
      <c r="I31" s="28">
        <f t="shared" si="4"/>
        <v>0</v>
      </c>
      <c r="J31" s="28">
        <v>1</v>
      </c>
    </row>
    <row r="32" spans="1:11" s="26" customFormat="1" x14ac:dyDescent="0.25">
      <c r="A32" s="35">
        <v>11200011</v>
      </c>
      <c r="B32" s="35">
        <f t="shared" si="3"/>
        <v>0</v>
      </c>
      <c r="C32" s="21">
        <f t="shared" ca="1" si="0"/>
        <v>44390</v>
      </c>
      <c r="D32" s="28" t="s">
        <v>66</v>
      </c>
      <c r="E32" s="28" t="s">
        <v>10</v>
      </c>
      <c r="F32" s="28">
        <v>1</v>
      </c>
      <c r="G32" s="28" t="s">
        <v>47</v>
      </c>
      <c r="H32" s="28"/>
      <c r="I32" s="28">
        <f t="shared" si="4"/>
        <v>0</v>
      </c>
      <c r="J32" s="28">
        <v>1</v>
      </c>
    </row>
    <row r="33" spans="1:11" s="26" customFormat="1" x14ac:dyDescent="0.25">
      <c r="A33" s="35">
        <v>11200012</v>
      </c>
      <c r="B33" s="35">
        <f t="shared" si="2"/>
        <v>0</v>
      </c>
      <c r="C33" s="21">
        <f t="shared" ca="1" si="0"/>
        <v>44390</v>
      </c>
      <c r="D33" s="28" t="s">
        <v>20</v>
      </c>
      <c r="E33" s="28" t="s">
        <v>12</v>
      </c>
      <c r="F33" s="28">
        <v>1</v>
      </c>
      <c r="G33" s="28" t="s">
        <v>47</v>
      </c>
      <c r="H33" s="28"/>
      <c r="I33" s="28">
        <f t="shared" si="1"/>
        <v>0</v>
      </c>
      <c r="J33" s="28">
        <v>1</v>
      </c>
    </row>
    <row r="34" spans="1:11" s="26" customFormat="1" x14ac:dyDescent="0.25">
      <c r="A34" s="35">
        <v>11200017</v>
      </c>
      <c r="B34" s="35">
        <f t="shared" si="2"/>
        <v>0</v>
      </c>
      <c r="C34" s="21">
        <f t="shared" ca="1" si="0"/>
        <v>44390</v>
      </c>
      <c r="D34" s="28" t="s">
        <v>42</v>
      </c>
      <c r="E34" s="28" t="s">
        <v>14</v>
      </c>
      <c r="F34" s="28">
        <v>1</v>
      </c>
      <c r="G34" s="28" t="s">
        <v>47</v>
      </c>
      <c r="H34" s="28"/>
      <c r="I34" s="28">
        <f t="shared" si="1"/>
        <v>0</v>
      </c>
      <c r="J34" s="28">
        <v>1</v>
      </c>
    </row>
    <row r="35" spans="1:11" s="26" customFormat="1" x14ac:dyDescent="0.25">
      <c r="A35" s="35">
        <v>11200053</v>
      </c>
      <c r="B35" s="35">
        <f t="shared" si="2"/>
        <v>0</v>
      </c>
      <c r="C35" s="21">
        <f t="shared" ca="1" si="0"/>
        <v>44390</v>
      </c>
      <c r="D35" s="28" t="s">
        <v>43</v>
      </c>
      <c r="E35" s="28" t="s">
        <v>16</v>
      </c>
      <c r="F35" s="28">
        <v>1</v>
      </c>
      <c r="G35" s="28" t="s">
        <v>47</v>
      </c>
      <c r="H35" s="28"/>
      <c r="I35" s="28">
        <f t="shared" si="1"/>
        <v>0</v>
      </c>
      <c r="J35" s="28">
        <v>1</v>
      </c>
    </row>
    <row r="36" spans="1:11" s="26" customFormat="1" x14ac:dyDescent="0.25">
      <c r="A36" s="36">
        <v>166152</v>
      </c>
      <c r="B36" s="36">
        <f t="shared" si="2"/>
        <v>50</v>
      </c>
      <c r="C36" s="22">
        <f t="shared" ca="1" si="0"/>
        <v>44390</v>
      </c>
      <c r="D36" s="29" t="s">
        <v>44</v>
      </c>
      <c r="E36" s="29" t="s">
        <v>8</v>
      </c>
      <c r="F36" s="29">
        <v>0</v>
      </c>
      <c r="G36" s="29" t="s">
        <v>47</v>
      </c>
      <c r="H36" s="29"/>
      <c r="I36" s="29">
        <f t="shared" si="1"/>
        <v>1</v>
      </c>
      <c r="J36" s="29">
        <v>1</v>
      </c>
    </row>
    <row r="37" spans="1:11" x14ac:dyDescent="0.25">
      <c r="A37" s="39"/>
      <c r="B37" s="40"/>
      <c r="C37" s="40"/>
      <c r="D37" s="40"/>
      <c r="E37" s="40"/>
      <c r="F37" s="40"/>
      <c r="G37" s="40"/>
      <c r="H37" s="40"/>
      <c r="I37" s="40"/>
      <c r="J37" s="41"/>
    </row>
    <row r="38" spans="1:11" ht="15.75" thickBot="1" x14ac:dyDescent="0.3">
      <c r="A38" s="45" t="s">
        <v>57</v>
      </c>
      <c r="B38" s="46"/>
      <c r="C38" s="46"/>
      <c r="D38" s="46"/>
      <c r="E38" s="46"/>
      <c r="F38" s="46"/>
      <c r="G38" s="46"/>
      <c r="H38" s="46"/>
      <c r="I38" s="46"/>
      <c r="J38" s="47"/>
    </row>
    <row r="39" spans="1:11" x14ac:dyDescent="0.25">
      <c r="A39" s="55">
        <v>11600005</v>
      </c>
      <c r="B39" s="57">
        <f t="shared" si="2"/>
        <v>50</v>
      </c>
      <c r="C39" s="23">
        <f t="shared" ca="1" si="0"/>
        <v>44390</v>
      </c>
      <c r="D39" s="59" t="s">
        <v>24</v>
      </c>
      <c r="E39" s="59" t="s">
        <v>4</v>
      </c>
      <c r="F39" s="61">
        <v>4</v>
      </c>
      <c r="G39" s="59" t="s">
        <v>47</v>
      </c>
      <c r="H39" s="31"/>
      <c r="I39" s="61">
        <f t="shared" si="1"/>
        <v>1</v>
      </c>
      <c r="J39" s="61">
        <v>5</v>
      </c>
      <c r="K39" t="s">
        <v>87</v>
      </c>
    </row>
    <row r="40" spans="1:11" x14ac:dyDescent="0.25">
      <c r="A40" s="56">
        <v>11600067</v>
      </c>
      <c r="B40" s="58">
        <f t="shared" si="2"/>
        <v>50</v>
      </c>
      <c r="C40" s="24">
        <f t="shared" ca="1" si="0"/>
        <v>44390</v>
      </c>
      <c r="D40" s="60" t="s">
        <v>30</v>
      </c>
      <c r="E40" s="60" t="s">
        <v>21</v>
      </c>
      <c r="F40" s="62">
        <v>4</v>
      </c>
      <c r="G40" s="60" t="s">
        <v>47</v>
      </c>
      <c r="H40" s="32"/>
      <c r="I40" s="62">
        <f t="shared" si="1"/>
        <v>1</v>
      </c>
      <c r="J40" s="62">
        <v>5</v>
      </c>
      <c r="K40" s="5" t="s">
        <v>88</v>
      </c>
    </row>
    <row r="41" spans="1:11" x14ac:dyDescent="0.25">
      <c r="A41" s="56">
        <v>11600001</v>
      </c>
      <c r="B41" s="58">
        <f t="shared" si="2"/>
        <v>250</v>
      </c>
      <c r="C41" s="24">
        <f t="shared" ca="1" si="0"/>
        <v>44390</v>
      </c>
      <c r="D41" s="60" t="s">
        <v>18</v>
      </c>
      <c r="E41" s="60" t="s">
        <v>6</v>
      </c>
      <c r="F41" s="62">
        <v>10</v>
      </c>
      <c r="G41" s="60" t="s">
        <v>47</v>
      </c>
      <c r="H41" s="32"/>
      <c r="I41" s="62">
        <f t="shared" si="1"/>
        <v>5</v>
      </c>
      <c r="J41" s="62">
        <v>15</v>
      </c>
      <c r="K41" s="5" t="s">
        <v>89</v>
      </c>
    </row>
    <row r="42" spans="1:11" x14ac:dyDescent="0.25">
      <c r="A42" s="56">
        <v>11600028</v>
      </c>
      <c r="B42" s="58">
        <f t="shared" si="2"/>
        <v>-150</v>
      </c>
      <c r="C42" s="24">
        <f t="shared" ca="1" si="0"/>
        <v>44390</v>
      </c>
      <c r="D42" s="60" t="s">
        <v>19</v>
      </c>
      <c r="E42" s="60" t="s">
        <v>10</v>
      </c>
      <c r="F42" s="62">
        <v>8</v>
      </c>
      <c r="G42" s="60" t="s">
        <v>47</v>
      </c>
      <c r="H42" s="32"/>
      <c r="I42" s="62">
        <f t="shared" si="1"/>
        <v>-3</v>
      </c>
      <c r="J42" s="62">
        <v>5</v>
      </c>
      <c r="K42" s="5" t="s">
        <v>90</v>
      </c>
    </row>
    <row r="43" spans="1:11" x14ac:dyDescent="0.25">
      <c r="A43" s="56">
        <v>11600029</v>
      </c>
      <c r="B43" s="58">
        <f t="shared" si="2"/>
        <v>50</v>
      </c>
      <c r="C43" s="24">
        <f t="shared" ca="1" si="0"/>
        <v>44390</v>
      </c>
      <c r="D43" s="2" t="s">
        <v>25</v>
      </c>
      <c r="E43" s="2" t="s">
        <v>12</v>
      </c>
      <c r="F43" s="2">
        <v>1</v>
      </c>
      <c r="G43" s="2" t="s">
        <v>47</v>
      </c>
      <c r="H43" s="32"/>
      <c r="I43" s="2">
        <f t="shared" si="1"/>
        <v>1</v>
      </c>
      <c r="J43" s="2">
        <v>2</v>
      </c>
      <c r="K43" s="5" t="s">
        <v>91</v>
      </c>
    </row>
    <row r="44" spans="1:11" x14ac:dyDescent="0.25">
      <c r="A44" s="56">
        <v>11600039</v>
      </c>
      <c r="B44" s="58">
        <f t="shared" si="2"/>
        <v>0</v>
      </c>
      <c r="C44" s="24">
        <f t="shared" ca="1" si="0"/>
        <v>44390</v>
      </c>
      <c r="D44" s="1" t="s">
        <v>31</v>
      </c>
      <c r="E44" s="1" t="s">
        <v>14</v>
      </c>
      <c r="F44" s="1">
        <v>2</v>
      </c>
      <c r="G44" s="1" t="s">
        <v>47</v>
      </c>
      <c r="H44" s="32"/>
      <c r="I44" s="1">
        <f t="shared" si="1"/>
        <v>0</v>
      </c>
      <c r="J44" s="1">
        <v>2</v>
      </c>
      <c r="K44" s="5" t="s">
        <v>92</v>
      </c>
    </row>
    <row r="45" spans="1:11" x14ac:dyDescent="0.25">
      <c r="A45" s="56">
        <v>11600021</v>
      </c>
      <c r="B45" s="58">
        <f t="shared" si="2"/>
        <v>50</v>
      </c>
      <c r="C45" s="24">
        <f t="shared" ca="1" si="0"/>
        <v>44390</v>
      </c>
      <c r="D45" s="2" t="s">
        <v>34</v>
      </c>
      <c r="E45" s="2" t="s">
        <v>8</v>
      </c>
      <c r="F45" s="2">
        <v>4</v>
      </c>
      <c r="G45" s="2" t="s">
        <v>47</v>
      </c>
      <c r="H45" s="32"/>
      <c r="I45" s="2">
        <f t="shared" si="1"/>
        <v>1</v>
      </c>
      <c r="J45" s="2">
        <v>5</v>
      </c>
      <c r="K45" s="5" t="s">
        <v>93</v>
      </c>
    </row>
    <row r="46" spans="1:11" x14ac:dyDescent="0.25">
      <c r="A46" s="56">
        <v>171237</v>
      </c>
      <c r="B46" s="58">
        <f t="shared" si="2"/>
        <v>0</v>
      </c>
      <c r="C46" s="24">
        <f t="shared" ca="1" si="0"/>
        <v>44390</v>
      </c>
      <c r="D46" s="1" t="s">
        <v>45</v>
      </c>
      <c r="E46" s="1" t="s">
        <v>4</v>
      </c>
      <c r="F46" s="1">
        <v>2</v>
      </c>
      <c r="G46" s="1" t="s">
        <v>47</v>
      </c>
      <c r="H46" s="32"/>
      <c r="I46" s="1">
        <f t="shared" si="1"/>
        <v>0</v>
      </c>
      <c r="J46" s="1">
        <v>2</v>
      </c>
      <c r="K46" s="5" t="s">
        <v>94</v>
      </c>
    </row>
    <row r="47" spans="1:11" x14ac:dyDescent="0.25">
      <c r="A47" s="56">
        <v>171236</v>
      </c>
      <c r="B47" s="58">
        <f t="shared" si="2"/>
        <v>-350</v>
      </c>
      <c r="C47" s="24">
        <f t="shared" ca="1" si="0"/>
        <v>44390</v>
      </c>
      <c r="D47" s="2" t="s">
        <v>35</v>
      </c>
      <c r="E47" s="2" t="s">
        <v>6</v>
      </c>
      <c r="F47" s="2">
        <v>9</v>
      </c>
      <c r="G47" s="2" t="s">
        <v>47</v>
      </c>
      <c r="H47" s="32"/>
      <c r="I47" s="2">
        <f t="shared" si="1"/>
        <v>-7</v>
      </c>
      <c r="J47" s="2">
        <v>2</v>
      </c>
      <c r="K47" s="5" t="s">
        <v>95</v>
      </c>
    </row>
    <row r="48" spans="1:11" x14ac:dyDescent="0.25">
      <c r="A48" s="56">
        <v>212826</v>
      </c>
      <c r="B48" s="58">
        <f t="shared" si="2"/>
        <v>-400</v>
      </c>
      <c r="C48" s="24">
        <f t="shared" ca="1" si="0"/>
        <v>44390</v>
      </c>
      <c r="D48" s="1" t="s">
        <v>36</v>
      </c>
      <c r="E48" s="1" t="s">
        <v>8</v>
      </c>
      <c r="F48" s="1">
        <v>10</v>
      </c>
      <c r="G48" s="1" t="s">
        <v>47</v>
      </c>
      <c r="H48" s="32"/>
      <c r="I48" s="1">
        <f t="shared" si="1"/>
        <v>-8</v>
      </c>
      <c r="J48" s="1">
        <v>2</v>
      </c>
      <c r="K48" s="5" t="s">
        <v>96</v>
      </c>
    </row>
    <row r="49" spans="1:11" x14ac:dyDescent="0.25">
      <c r="A49" s="56">
        <v>212287</v>
      </c>
      <c r="B49" s="58">
        <f t="shared" si="2"/>
        <v>-200</v>
      </c>
      <c r="C49" s="24">
        <f t="shared" ca="1" si="0"/>
        <v>44390</v>
      </c>
      <c r="D49" s="2" t="s">
        <v>37</v>
      </c>
      <c r="E49" s="2" t="s">
        <v>10</v>
      </c>
      <c r="F49" s="2">
        <v>6</v>
      </c>
      <c r="G49" s="2" t="s">
        <v>47</v>
      </c>
      <c r="H49" s="32"/>
      <c r="I49" s="2">
        <f t="shared" si="1"/>
        <v>-4</v>
      </c>
      <c r="J49" s="2">
        <v>2</v>
      </c>
      <c r="K49" s="5" t="s">
        <v>97</v>
      </c>
    </row>
    <row r="50" spans="1:11" x14ac:dyDescent="0.25">
      <c r="A50" s="4"/>
      <c r="B50" s="4"/>
      <c r="C50" s="25"/>
      <c r="D50" s="4"/>
      <c r="E50" s="4"/>
      <c r="F50" s="3"/>
      <c r="G50" s="3"/>
      <c r="H50" s="33"/>
      <c r="I50" s="3"/>
      <c r="J50" s="3"/>
    </row>
  </sheetData>
  <mergeCells count="6">
    <mergeCell ref="A1:J1"/>
    <mergeCell ref="A22:J22"/>
    <mergeCell ref="A23:J23"/>
    <mergeCell ref="A37:J37"/>
    <mergeCell ref="A38:J38"/>
    <mergeCell ref="A4:J4"/>
  </mergeCells>
  <pageMargins left="0.70866141732283472" right="0.70866141732283472" top="0.74803149606299213" bottom="0.74803149606299213" header="0.31496062992125984" footer="0.31496062992125984"/>
  <pageSetup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10"/>
  <sheetViews>
    <sheetView workbookViewId="0">
      <selection activeCell="B12" sqref="B12"/>
    </sheetView>
  </sheetViews>
  <sheetFormatPr baseColWidth="10" defaultColWidth="9.140625" defaultRowHeight="15" x14ac:dyDescent="0.25"/>
  <sheetData>
    <row r="1" spans="1:4" x14ac:dyDescent="0.25">
      <c r="A1">
        <v>11100409</v>
      </c>
      <c r="B1">
        <v>400</v>
      </c>
      <c r="C1">
        <v>14470</v>
      </c>
      <c r="D1" t="s">
        <v>68</v>
      </c>
    </row>
    <row r="2" spans="1:4" x14ac:dyDescent="0.25">
      <c r="A2">
        <v>11100638</v>
      </c>
      <c r="B2">
        <v>1200</v>
      </c>
      <c r="C2">
        <v>14470</v>
      </c>
      <c r="D2" t="s">
        <v>68</v>
      </c>
    </row>
    <row r="3" spans="1:4" x14ac:dyDescent="0.25">
      <c r="A3">
        <v>11100578</v>
      </c>
      <c r="B3">
        <v>300</v>
      </c>
      <c r="C3">
        <v>14470</v>
      </c>
      <c r="D3" t="s">
        <v>68</v>
      </c>
    </row>
    <row r="4" spans="1:4" x14ac:dyDescent="0.25">
      <c r="A4">
        <v>11100567</v>
      </c>
      <c r="B4">
        <v>450</v>
      </c>
      <c r="C4">
        <v>14470</v>
      </c>
      <c r="D4" t="s">
        <v>68</v>
      </c>
    </row>
    <row r="5" spans="1:4" x14ac:dyDescent="0.25">
      <c r="A5">
        <v>11100400</v>
      </c>
      <c r="B5">
        <v>300</v>
      </c>
      <c r="C5">
        <v>14470</v>
      </c>
      <c r="D5" t="s">
        <v>68</v>
      </c>
    </row>
    <row r="6" spans="1:4" x14ac:dyDescent="0.25">
      <c r="A6">
        <v>11100379</v>
      </c>
      <c r="B6">
        <v>100</v>
      </c>
      <c r="C6">
        <v>14470</v>
      </c>
      <c r="D6" t="s">
        <v>68</v>
      </c>
    </row>
    <row r="7" spans="1:4" x14ac:dyDescent="0.25">
      <c r="A7">
        <v>11100282</v>
      </c>
      <c r="B7">
        <v>200</v>
      </c>
      <c r="C7">
        <v>14470</v>
      </c>
      <c r="D7" t="s">
        <v>68</v>
      </c>
    </row>
    <row r="8" spans="1:4" x14ac:dyDescent="0.25">
      <c r="A8">
        <v>11100285</v>
      </c>
      <c r="B8">
        <v>150</v>
      </c>
      <c r="C8">
        <v>14470</v>
      </c>
      <c r="D8" t="s">
        <v>68</v>
      </c>
    </row>
    <row r="9" spans="1:4" x14ac:dyDescent="0.25">
      <c r="A9">
        <v>11600021</v>
      </c>
      <c r="B9">
        <v>100</v>
      </c>
      <c r="C9">
        <v>11322</v>
      </c>
      <c r="D9" t="s">
        <v>69</v>
      </c>
    </row>
    <row r="10" spans="1:4" x14ac:dyDescent="0.25">
      <c r="A10">
        <v>11200081</v>
      </c>
      <c r="B10">
        <v>50</v>
      </c>
      <c r="C10">
        <v>11322</v>
      </c>
      <c r="D10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Sheet1</vt:lpstr>
    </vt:vector>
  </TitlesOfParts>
  <Company>Premier Tech Ltee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clom</dc:creator>
  <cp:lastModifiedBy>Slimane Rechdi - RECS</cp:lastModifiedBy>
  <cp:lastPrinted>2019-12-11T18:17:52Z</cp:lastPrinted>
  <dcterms:created xsi:type="dcterms:W3CDTF">2010-10-26T12:29:20Z</dcterms:created>
  <dcterms:modified xsi:type="dcterms:W3CDTF">2021-07-12T20:50:40Z</dcterms:modified>
</cp:coreProperties>
</file>